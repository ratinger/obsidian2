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台帳" sheetId="1" state="visible" r:id="rId1"/>
    <sheet xmlns:r="http://schemas.openxmlformats.org/officeDocument/2006/relationships" name="選択肢" sheetId="2" state="visible" r:id="rId2"/>
  </sheets>
  <definedNames>
    <definedName name="KubunList">OFFSET(選択肢!$A$2,0,0,COUNTA(選択肢!$A$2:$A$30),1)</definedName>
    <definedName name="_xlnm._FilterDatabase" localSheetId="0" hidden="1">'台帳'!$A$2:$H$40</definedName>
    <definedName name="_xlnm.Print_Titles" localSheetId="0">'台帳'!$1:$2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8">
    <font>
      <name val="ＭＳ Ｐゴシック"/>
      <family val="2"/>
      <color theme="1"/>
      <sz val="11"/>
      <scheme val="minor"/>
    </font>
    <font>
      <name val="Yu Gothic"/>
      <charset val="128"/>
      <family val="3"/>
      <b val="1"/>
      <color rgb="FF1F4E79"/>
      <sz val="16"/>
    </font>
    <font>
      <name val="Yu Gothic"/>
      <charset val="128"/>
      <family val="3"/>
      <b val="1"/>
      <color rgb="FF1F4E79"/>
      <sz val="11"/>
    </font>
    <font>
      <name val="Yu Gothic"/>
      <charset val="128"/>
      <family val="3"/>
      <color rgb="FF000000"/>
      <sz val="11"/>
    </font>
    <font>
      <name val="Yu Gothic"/>
      <charset val="128"/>
      <family val="3"/>
      <b val="1"/>
      <color rgb="FF1F4E79"/>
      <sz val="14"/>
    </font>
    <font>
      <name val="Yu Gothic"/>
      <charset val="128"/>
      <family val="3"/>
      <b val="1"/>
      <color rgb="FFFFFFFF"/>
      <sz val="11"/>
    </font>
    <font>
      <name val="Yu Gothic"/>
      <charset val="128"/>
      <family val="3"/>
      <color rgb="FF1F4E79"/>
      <sz val="11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E5F2E5"/>
      </patternFill>
    </fill>
    <fill>
      <patternFill patternType="solid">
        <fgColor rgb="FF1F4E79"/>
      </patternFill>
    </fill>
    <fill>
      <patternFill patternType="solid">
        <fgColor rgb="FFFFF4D6"/>
      </patternFill>
    </fill>
    <fill>
      <patternFill patternType="solid">
        <fgColor rgb="FFF4F6F8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3" fontId="4" fillId="2" borderId="0" applyAlignment="1" pivotButton="0" quotePrefix="0" xfId="0">
      <alignment horizontal="right" vertical="center"/>
    </xf>
    <xf numFmtId="164" fontId="3" fillId="4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H40"/>
  <sheetViews>
    <sheetView tabSelected="1" zoomScale="120" zoomScaleNormal="120" workbookViewId="0">
      <pane ySplit="2" topLeftCell="A3" activePane="bottomLeft" state="frozen"/>
      <selection pane="bottomLeft" activeCell="A3" sqref="A3"/>
    </sheetView>
  </sheetViews>
  <sheetFormatPr baseColWidth="8" defaultRowHeight="13.5"/>
  <cols>
    <col width="14" customWidth="1" style="17" min="1" max="1"/>
    <col width="12" customWidth="1" style="17" min="2" max="2"/>
    <col width="42" customWidth="1" style="17" min="3" max="3"/>
    <col width="16" customWidth="1" style="17" min="4" max="6"/>
    <col width="36" customWidth="1" style="17" min="7" max="7"/>
    <col width="42" customWidth="1" style="17" min="8" max="8"/>
  </cols>
  <sheetData>
    <row r="1" ht="27.95" customHeight="1" s="17">
      <c r="A1" s="16" t="inlineStr">
        <is>
          <t>名古屋預り金台帳</t>
        </is>
      </c>
      <c r="D1" t="inlineStr">
        <is>
          <t>対象：尾関和子さん</t>
        </is>
      </c>
      <c r="E1" s="1" t="inlineStr">
        <is>
          <t>現在残高</t>
        </is>
      </c>
      <c r="F1" s="18">
        <f>SUM(D3:D40)-SUM(E3:E40)</f>
        <v/>
      </c>
    </row>
    <row r="2" ht="21.95" customHeight="1" s="17">
      <c r="A2" s="2" t="inlineStr">
        <is>
          <t>日付</t>
        </is>
      </c>
      <c r="B2" s="2" t="inlineStr">
        <is>
          <t>区分</t>
        </is>
      </c>
      <c r="C2" s="2" t="inlineStr">
        <is>
          <t>摘要</t>
        </is>
      </c>
      <c r="D2" s="2" t="inlineStr">
        <is>
          <t>入金</t>
        </is>
      </c>
      <c r="E2" s="2" t="inlineStr">
        <is>
          <t>出金</t>
        </is>
      </c>
      <c r="F2" s="2" t="inlineStr">
        <is>
          <t>残高</t>
        </is>
      </c>
      <c r="G2" s="2" t="inlineStr">
        <is>
          <t>証憑(例:R_2026_001)</t>
        </is>
      </c>
      <c r="H2" s="2" t="inlineStr">
        <is>
          <t>メモ</t>
        </is>
      </c>
    </row>
    <row r="3" ht="20.1" customHeight="1" s="17">
      <c r="A3" s="19" t="n">
        <v>46295</v>
      </c>
      <c r="B3" s="4" t="inlineStr">
        <is>
          <t>繰越</t>
        </is>
      </c>
      <c r="C3" s="5" t="inlineStr">
        <is>
          <t>2026-09-30時点の残高。出典は資産確認</t>
        </is>
      </c>
      <c r="D3" s="6" t="n">
        <v>10105444</v>
      </c>
      <c r="E3" s="6" t="n"/>
      <c r="F3" s="7">
        <f>IF(AND(A3="",D3="",E3=""),"",SUM($D$3:D3)-SUM($E$3:E3))</f>
        <v/>
      </c>
      <c r="G3" s="5" t="inlineStr">
        <is>
          <t>11_名古屋/20261010_資産確認.md</t>
        </is>
      </c>
      <c r="H3" s="5" t="inlineStr">
        <is>
          <t>これより前の入出金の内訳は、この台帳にはない</t>
        </is>
      </c>
    </row>
    <row r="4" ht="20.1" customHeight="1" s="17">
      <c r="A4" s="20" t="n">
        <v>46299</v>
      </c>
      <c r="B4" s="9" t="inlineStr">
        <is>
          <t>その他</t>
        </is>
      </c>
      <c r="C4" s="10" t="inlineStr">
        <is>
          <t>三菱UFJ 石川橋支店 清水カズヒロへ振込</t>
        </is>
      </c>
      <c r="D4" s="11" t="n"/>
      <c r="E4" s="11" t="n">
        <v>84040</v>
      </c>
      <c r="F4" s="12">
        <f>IF(AND(A4="",D4="",E4=""),"",SUM($D$3:D4)-SUM($E$3:E4))</f>
        <v/>
      </c>
      <c r="G4" s="10" t="inlineStr">
        <is>
          <t>R_2026_002</t>
        </is>
      </c>
      <c r="H4" s="10" t="inlineStr">
        <is>
          <t>振込明細に用途の記載なし</t>
        </is>
      </c>
    </row>
    <row r="5" ht="20.1" customHeight="1" s="17">
      <c r="A5" s="20" t="n">
        <v>46299</v>
      </c>
      <c r="B5" s="9" t="inlineStr">
        <is>
          <t>生活</t>
        </is>
      </c>
      <c r="C5" s="10" t="inlineStr">
        <is>
          <t>あいおいニッセイ同和 火災保険料</t>
        </is>
      </c>
      <c r="D5" s="11" t="n"/>
      <c r="E5" s="11" t="n">
        <v>69490</v>
      </c>
      <c r="F5" s="12">
        <f>IF(AND(A5="",D5="",E5=""),"",SUM($D$3:D5)-SUM($E$3:E5))</f>
        <v/>
      </c>
      <c r="G5" s="10" t="inlineStr">
        <is>
          <t>R_2026_003</t>
        </is>
      </c>
      <c r="H5" s="10" t="n"/>
    </row>
    <row r="6" ht="20.1" customHeight="1" s="17">
      <c r="A6" s="20" t="n"/>
      <c r="B6" s="9" t="n"/>
      <c r="C6" s="10" t="n"/>
      <c r="D6" s="11" t="n"/>
      <c r="E6" s="11" t="n"/>
      <c r="F6" s="12">
        <f>IF(AND(A6="",D6="",E6=""),"",SUM($D$3:D6)-SUM($E$3:E6))</f>
        <v/>
      </c>
      <c r="G6" s="10" t="n"/>
      <c r="H6" s="10" t="n"/>
    </row>
    <row r="7" ht="20.1" customHeight="1" s="17">
      <c r="A7" s="20" t="n"/>
      <c r="B7" s="9" t="n"/>
      <c r="C7" s="10" t="n"/>
      <c r="D7" s="11" t="n"/>
      <c r="E7" s="11" t="n"/>
      <c r="F7" s="12">
        <f>IF(AND(A7="",D7="",E7=""),"",SUM($D$3:D7)-SUM($E$3:E7))</f>
        <v/>
      </c>
      <c r="G7" s="10" t="n"/>
      <c r="H7" s="10" t="n"/>
    </row>
    <row r="8" ht="20.1" customHeight="1" s="17">
      <c r="A8" s="20" t="n"/>
      <c r="B8" s="9" t="n"/>
      <c r="C8" s="10" t="n"/>
      <c r="D8" s="11" t="n"/>
      <c r="E8" s="11" t="n"/>
      <c r="F8" s="12">
        <f>IF(AND(A8="",D8="",E8=""),"",SUM($D$3:D8)-SUM($E$3:E8))</f>
        <v/>
      </c>
      <c r="G8" s="10" t="n"/>
      <c r="H8" s="10" t="n"/>
    </row>
    <row r="9" ht="20.1" customHeight="1" s="17">
      <c r="A9" s="20" t="n"/>
      <c r="B9" s="9" t="n"/>
      <c r="C9" s="10" t="n"/>
      <c r="D9" s="11" t="n"/>
      <c r="E9" s="11" t="n"/>
      <c r="F9" s="12">
        <f>IF(AND(A9="",D9="",E9=""),"",SUM($D$3:D9)-SUM($E$3:E9))</f>
        <v/>
      </c>
      <c r="G9" s="10" t="n"/>
      <c r="H9" s="10" t="n"/>
    </row>
    <row r="10" ht="20.1" customHeight="1" s="17">
      <c r="A10" s="20" t="n"/>
      <c r="B10" s="9" t="n"/>
      <c r="C10" s="10" t="n"/>
      <c r="D10" s="11" t="n"/>
      <c r="E10" s="11" t="n"/>
      <c r="F10" s="12">
        <f>IF(AND(A10="",D10="",E10=""),"",SUM($D$3:D10)-SUM($E$3:E10))</f>
        <v/>
      </c>
      <c r="G10" s="10" t="n"/>
      <c r="H10" s="10" t="n"/>
    </row>
    <row r="11" ht="20.1" customHeight="1" s="17">
      <c r="A11" s="20" t="n"/>
      <c r="B11" s="9" t="n"/>
      <c r="C11" s="10" t="n"/>
      <c r="D11" s="11" t="n"/>
      <c r="E11" s="11" t="n"/>
      <c r="F11" s="12">
        <f>IF(AND(A11="",D11="",E11=""),"",SUM($D$3:D11)-SUM($E$3:E11))</f>
        <v/>
      </c>
      <c r="G11" s="10" t="n"/>
      <c r="H11" s="10" t="n"/>
    </row>
    <row r="12" ht="20.1" customHeight="1" s="17">
      <c r="A12" s="20" t="n"/>
      <c r="B12" s="9" t="n"/>
      <c r="C12" s="10" t="n"/>
      <c r="D12" s="11" t="n"/>
      <c r="E12" s="11" t="n"/>
      <c r="F12" s="12">
        <f>IF(AND(A12="",D12="",E12=""),"",SUM($D$3:D12)-SUM($E$3:E12))</f>
        <v/>
      </c>
      <c r="G12" s="10" t="n"/>
      <c r="H12" s="10" t="n"/>
    </row>
    <row r="13" ht="20.1" customHeight="1" s="17">
      <c r="A13" s="20" t="n"/>
      <c r="B13" s="9" t="n"/>
      <c r="C13" s="10" t="n"/>
      <c r="D13" s="11" t="n"/>
      <c r="E13" s="11" t="n"/>
      <c r="F13" s="12">
        <f>IF(AND(A13="",D13="",E13=""),"",SUM($D$3:D13)-SUM($E$3:E13))</f>
        <v/>
      </c>
      <c r="G13" s="10" t="n"/>
      <c r="H13" s="10" t="n"/>
    </row>
    <row r="14" ht="20.1" customHeight="1" s="17">
      <c r="A14" s="20" t="n"/>
      <c r="B14" s="9" t="n"/>
      <c r="C14" s="10" t="n"/>
      <c r="D14" s="11" t="n"/>
      <c r="E14" s="11" t="n"/>
      <c r="F14" s="12">
        <f>IF(AND(A14="",D14="",E14=""),"",SUM($D$3:D14)-SUM($E$3:E14))</f>
        <v/>
      </c>
      <c r="G14" s="10" t="n"/>
      <c r="H14" s="10" t="n"/>
    </row>
    <row r="15" ht="20.1" customHeight="1" s="17">
      <c r="A15" s="20" t="n"/>
      <c r="B15" s="9" t="n"/>
      <c r="C15" s="10" t="n"/>
      <c r="D15" s="11" t="n"/>
      <c r="E15" s="11" t="n"/>
      <c r="F15" s="12">
        <f>IF(AND(A15="",D15="",E15=""),"",SUM($D$3:D15)-SUM($E$3:E15))</f>
        <v/>
      </c>
      <c r="G15" s="10" t="n"/>
      <c r="H15" s="10" t="n"/>
    </row>
    <row r="16" ht="20.1" customHeight="1" s="17">
      <c r="A16" s="20" t="n"/>
      <c r="B16" s="9" t="n"/>
      <c r="C16" s="10" t="n"/>
      <c r="D16" s="11" t="n"/>
      <c r="E16" s="11" t="n"/>
      <c r="F16" s="12">
        <f>IF(AND(A16="",D16="",E16=""),"",SUM($D$3:D16)-SUM($E$3:E16))</f>
        <v/>
      </c>
      <c r="G16" s="10" t="n"/>
      <c r="H16" s="10" t="n"/>
    </row>
    <row r="17" ht="20.1" customHeight="1" s="17">
      <c r="A17" s="20" t="n"/>
      <c r="B17" s="9" t="n"/>
      <c r="C17" s="10" t="n"/>
      <c r="D17" s="11" t="n"/>
      <c r="E17" s="11" t="n"/>
      <c r="F17" s="12">
        <f>IF(AND(A17="",D17="",E17=""),"",SUM($D$3:D17)-SUM($E$3:E17))</f>
        <v/>
      </c>
      <c r="G17" s="10" t="n"/>
      <c r="H17" s="10" t="n"/>
    </row>
    <row r="18" ht="20.1" customHeight="1" s="17">
      <c r="A18" s="20" t="n"/>
      <c r="B18" s="9" t="n"/>
      <c r="C18" s="10" t="n"/>
      <c r="D18" s="11" t="n"/>
      <c r="E18" s="11" t="n"/>
      <c r="F18" s="12">
        <f>IF(AND(A18="",D18="",E18=""),"",SUM($D$3:D18)-SUM($E$3:E18))</f>
        <v/>
      </c>
      <c r="G18" s="10" t="n"/>
      <c r="H18" s="10" t="n"/>
    </row>
    <row r="19" ht="20.1" customHeight="1" s="17">
      <c r="A19" s="20" t="n"/>
      <c r="B19" s="9" t="n"/>
      <c r="C19" s="10" t="n"/>
      <c r="D19" s="11" t="n"/>
      <c r="E19" s="11" t="n"/>
      <c r="F19" s="12">
        <f>IF(AND(A19="",D19="",E19=""),"",SUM($D$3:D19)-SUM($E$3:E19))</f>
        <v/>
      </c>
      <c r="G19" s="10" t="n"/>
      <c r="H19" s="10" t="n"/>
    </row>
    <row r="20" ht="20.1" customHeight="1" s="17">
      <c r="A20" s="20" t="n"/>
      <c r="B20" s="9" t="n"/>
      <c r="C20" s="10" t="n"/>
      <c r="D20" s="11" t="n"/>
      <c r="E20" s="11" t="n"/>
      <c r="F20" s="12">
        <f>IF(AND(A20="",D20="",E20=""),"",SUM($D$3:D20)-SUM($E$3:E20))</f>
        <v/>
      </c>
      <c r="G20" s="10" t="n"/>
      <c r="H20" s="10" t="n"/>
    </row>
    <row r="21" ht="20.1" customHeight="1" s="17">
      <c r="A21" s="20" t="n"/>
      <c r="B21" s="9" t="n"/>
      <c r="C21" s="10" t="n"/>
      <c r="D21" s="11" t="n"/>
      <c r="E21" s="11" t="n"/>
      <c r="F21" s="12">
        <f>IF(AND(A21="",D21="",E21=""),"",SUM($D$3:D21)-SUM($E$3:E21))</f>
        <v/>
      </c>
      <c r="G21" s="10" t="n"/>
      <c r="H21" s="10" t="n"/>
    </row>
    <row r="22" ht="20.1" customHeight="1" s="17">
      <c r="A22" s="20" t="n"/>
      <c r="B22" s="9" t="n"/>
      <c r="C22" s="10" t="n"/>
      <c r="D22" s="11" t="n"/>
      <c r="E22" s="11" t="n"/>
      <c r="F22" s="12">
        <f>IF(AND(A22="",D22="",E22=""),"",SUM($D$3:D22)-SUM($E$3:E22))</f>
        <v/>
      </c>
      <c r="G22" s="10" t="n"/>
      <c r="H22" s="10" t="n"/>
    </row>
    <row r="23" ht="20.1" customHeight="1" s="17">
      <c r="A23" s="20" t="n"/>
      <c r="B23" s="9" t="n"/>
      <c r="C23" s="10" t="n"/>
      <c r="D23" s="11" t="n"/>
      <c r="E23" s="11" t="n"/>
      <c r="F23" s="12">
        <f>IF(AND(A23="",D23="",E23=""),"",SUM($D$3:D23)-SUM($E$3:E23))</f>
        <v/>
      </c>
      <c r="G23" s="10" t="n"/>
      <c r="H23" s="10" t="n"/>
    </row>
    <row r="24" ht="20.1" customHeight="1" s="17">
      <c r="A24" s="20" t="n"/>
      <c r="B24" s="9" t="n"/>
      <c r="C24" s="10" t="n"/>
      <c r="D24" s="11" t="n"/>
      <c r="E24" s="11" t="n"/>
      <c r="F24" s="12">
        <f>IF(AND(A24="",D24="",E24=""),"",SUM($D$3:D24)-SUM($E$3:E24))</f>
        <v/>
      </c>
      <c r="G24" s="10" t="n"/>
      <c r="H24" s="10" t="n"/>
    </row>
    <row r="25" ht="20.1" customHeight="1" s="17">
      <c r="A25" s="20" t="n"/>
      <c r="B25" s="9" t="n"/>
      <c r="C25" s="10" t="n"/>
      <c r="D25" s="11" t="n"/>
      <c r="E25" s="11" t="n"/>
      <c r="F25" s="12">
        <f>IF(AND(A25="",D25="",E25=""),"",SUM($D$3:D25)-SUM($E$3:E25))</f>
        <v/>
      </c>
      <c r="G25" s="10" t="n"/>
      <c r="H25" s="10" t="n"/>
    </row>
    <row r="26" ht="20.1" customHeight="1" s="17">
      <c r="A26" s="20" t="n"/>
      <c r="B26" s="9" t="n"/>
      <c r="C26" s="10" t="n"/>
      <c r="D26" s="11" t="n"/>
      <c r="E26" s="11" t="n"/>
      <c r="F26" s="12">
        <f>IF(AND(A26="",D26="",E26=""),"",SUM($D$3:D26)-SUM($E$3:E26))</f>
        <v/>
      </c>
      <c r="G26" s="10" t="n"/>
      <c r="H26" s="10" t="n"/>
    </row>
    <row r="27" ht="20.1" customHeight="1" s="17">
      <c r="A27" s="20" t="n"/>
      <c r="B27" s="9" t="n"/>
      <c r="C27" s="10" t="n"/>
      <c r="D27" s="11" t="n"/>
      <c r="E27" s="11" t="n"/>
      <c r="F27" s="12">
        <f>IF(AND(A27="",D27="",E27=""),"",SUM($D$3:D27)-SUM($E$3:E27))</f>
        <v/>
      </c>
      <c r="G27" s="10" t="n"/>
      <c r="H27" s="10" t="n"/>
    </row>
    <row r="28" ht="20.1" customHeight="1" s="17">
      <c r="A28" s="20" t="n"/>
      <c r="B28" s="9" t="n"/>
      <c r="C28" s="10" t="n"/>
      <c r="D28" s="11" t="n"/>
      <c r="E28" s="11" t="n"/>
      <c r="F28" s="12">
        <f>IF(AND(A28="",D28="",E28=""),"",SUM($D$3:D28)-SUM($E$3:E28))</f>
        <v/>
      </c>
      <c r="G28" s="10" t="n"/>
      <c r="H28" s="10" t="n"/>
    </row>
    <row r="29" ht="20.1" customHeight="1" s="17">
      <c r="A29" s="20" t="n"/>
      <c r="B29" s="9" t="n"/>
      <c r="C29" s="10" t="n"/>
      <c r="D29" s="11" t="n"/>
      <c r="E29" s="11" t="n"/>
      <c r="F29" s="12">
        <f>IF(AND(A29="",D29="",E29=""),"",SUM($D$3:D29)-SUM($E$3:E29))</f>
        <v/>
      </c>
      <c r="G29" s="10" t="n"/>
      <c r="H29" s="10" t="n"/>
    </row>
    <row r="30" ht="20.1" customHeight="1" s="17">
      <c r="A30" s="20" t="n"/>
      <c r="B30" s="9" t="n"/>
      <c r="C30" s="10" t="n"/>
      <c r="D30" s="11" t="n"/>
      <c r="E30" s="11" t="n"/>
      <c r="F30" s="12">
        <f>IF(AND(A30="",D30="",E30=""),"",SUM($D$3:D30)-SUM($E$3:E30))</f>
        <v/>
      </c>
      <c r="G30" s="10" t="n"/>
      <c r="H30" s="10" t="n"/>
    </row>
    <row r="31" ht="20.1" customHeight="1" s="17">
      <c r="A31" s="20" t="n"/>
      <c r="B31" s="9" t="n"/>
      <c r="C31" s="10" t="n"/>
      <c r="D31" s="11" t="n"/>
      <c r="E31" s="11" t="n"/>
      <c r="F31" s="12">
        <f>IF(AND(A31="",D31="",E31=""),"",SUM($D$3:D31)-SUM($E$3:E31))</f>
        <v/>
      </c>
      <c r="G31" s="10" t="n"/>
      <c r="H31" s="10" t="n"/>
    </row>
    <row r="32" ht="20.1" customHeight="1" s="17">
      <c r="A32" s="20" t="n"/>
      <c r="B32" s="9" t="n"/>
      <c r="C32" s="10" t="n"/>
      <c r="D32" s="11" t="n"/>
      <c r="E32" s="11" t="n"/>
      <c r="F32" s="12">
        <f>IF(AND(A32="",D32="",E32=""),"",SUM($D$3:D32)-SUM($E$3:E32))</f>
        <v/>
      </c>
      <c r="G32" s="10" t="n"/>
      <c r="H32" s="10" t="n"/>
    </row>
    <row r="33" ht="20.1" customHeight="1" s="17">
      <c r="A33" s="20" t="n"/>
      <c r="B33" s="9" t="n"/>
      <c r="C33" s="10" t="n"/>
      <c r="D33" s="11" t="n"/>
      <c r="E33" s="11" t="n"/>
      <c r="F33" s="12">
        <f>IF(AND(A33="",D33="",E33=""),"",SUM($D$3:D33)-SUM($E$3:E33))</f>
        <v/>
      </c>
      <c r="G33" s="10" t="n"/>
      <c r="H33" s="10" t="n"/>
    </row>
    <row r="34" ht="20.1" customHeight="1" s="17">
      <c r="A34" s="20" t="n"/>
      <c r="B34" s="9" t="n"/>
      <c r="C34" s="10" t="n"/>
      <c r="D34" s="11" t="n"/>
      <c r="E34" s="11" t="n"/>
      <c r="F34" s="12">
        <f>IF(AND(A34="",D34="",E34=""),"",SUM($D$3:D34)-SUM($E$3:E34))</f>
        <v/>
      </c>
      <c r="G34" s="10" t="n"/>
      <c r="H34" s="10" t="n"/>
    </row>
    <row r="35" ht="20.1" customHeight="1" s="17">
      <c r="A35" s="20" t="n"/>
      <c r="B35" s="9" t="n"/>
      <c r="C35" s="10" t="n"/>
      <c r="D35" s="11" t="n"/>
      <c r="E35" s="11" t="n"/>
      <c r="F35" s="12">
        <f>IF(AND(A35="",D35="",E35=""),"",SUM($D$3:D35)-SUM($E$3:E35))</f>
        <v/>
      </c>
      <c r="G35" s="10" t="n"/>
      <c r="H35" s="10" t="n"/>
    </row>
    <row r="36" ht="20.1" customHeight="1" s="17">
      <c r="A36" s="20" t="n"/>
      <c r="B36" s="9" t="n"/>
      <c r="C36" s="10" t="n"/>
      <c r="D36" s="11" t="n"/>
      <c r="E36" s="11" t="n"/>
      <c r="F36" s="12">
        <f>IF(AND(A36="",D36="",E36=""),"",SUM($D$3:D36)-SUM($E$3:E36))</f>
        <v/>
      </c>
      <c r="G36" s="10" t="n"/>
      <c r="H36" s="10" t="n"/>
    </row>
    <row r="37" ht="20.1" customHeight="1" s="17">
      <c r="A37" s="20" t="n"/>
      <c r="B37" s="9" t="n"/>
      <c r="C37" s="10" t="n"/>
      <c r="D37" s="11" t="n"/>
      <c r="E37" s="11" t="n"/>
      <c r="F37" s="12">
        <f>IF(AND(A37="",D37="",E37=""),"",SUM($D$3:D37)-SUM($E$3:E37))</f>
        <v/>
      </c>
      <c r="G37" s="10" t="n"/>
      <c r="H37" s="10" t="n"/>
    </row>
    <row r="38" ht="20.1" customHeight="1" s="17">
      <c r="A38" s="20" t="n"/>
      <c r="B38" s="9" t="n"/>
      <c r="C38" s="10" t="n"/>
      <c r="D38" s="11" t="n"/>
      <c r="E38" s="11" t="n"/>
      <c r="F38" s="12">
        <f>IF(AND(A38="",D38="",E38=""),"",SUM($D$3:D38)-SUM($E$3:E38))</f>
        <v/>
      </c>
      <c r="G38" s="10" t="n"/>
      <c r="H38" s="10" t="n"/>
    </row>
    <row r="39" ht="20.1" customHeight="1" s="17">
      <c r="A39" s="20" t="n"/>
      <c r="B39" s="9" t="n"/>
      <c r="C39" s="10" t="n"/>
      <c r="D39" s="11" t="n"/>
      <c r="E39" s="11" t="n"/>
      <c r="F39" s="12">
        <f>IF(AND(A39="",D39="",E39=""),"",SUM($D$3:D39)-SUM($E$3:E39))</f>
        <v/>
      </c>
      <c r="G39" s="10" t="n"/>
      <c r="H39" s="10" t="n"/>
    </row>
    <row r="40" ht="20.1" customHeight="1" s="17">
      <c r="A40" s="20" t="n"/>
      <c r="B40" s="9" t="n"/>
      <c r="C40" s="10" t="n"/>
      <c r="D40" s="11" t="n"/>
      <c r="E40" s="11" t="n"/>
      <c r="F40" s="12">
        <f>IF(AND(A40="",D40="",E40=""),"",SUM($D$3:D40)-SUM($E$3:E40))</f>
        <v/>
      </c>
      <c r="G40" s="10" t="n"/>
      <c r="H40" s="10" t="n"/>
    </row>
  </sheetData>
  <autoFilter ref="A2:H40"/>
  <mergeCells count="1">
    <mergeCell ref="A1:C1"/>
  </mergeCells>
  <dataValidations count="1">
    <dataValidation sqref="B3:B40" showDropDown="0" showInputMessage="0" showErrorMessage="0" allowBlank="1" type="list">
      <formula1>KubunList</formula1>
    </dataValidation>
  </dataValidations>
  <pageMargins left="0.75" right="0.75" top="1" bottom="1" header="0.5" footer="0.5"/>
  <pageSetup orientation="landscape" paperSize="9" fitToHeight="0"/>
  <headerFooter>
    <oddHeader>&amp;L名古屋預り金台帳　尾関和子さん</oddHeader>
    <oddFooter>&amp;Rページ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7F8C8D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6" customWidth="1" style="17" min="1" max="1"/>
    <col width="88" customWidth="1" style="17" min="2" max="2"/>
  </cols>
  <sheetData>
    <row r="1" ht="21.95" customHeight="1" s="17">
      <c r="A1" s="13" t="inlineStr">
        <is>
          <t>区分</t>
        </is>
      </c>
      <c r="B1" s="13" t="inlineStr">
        <is>
          <t>書き方</t>
        </is>
      </c>
    </row>
    <row r="2" ht="18.75" customHeight="1" s="17">
      <c r="A2" s="14" t="inlineStr">
        <is>
          <t>繰越</t>
        </is>
      </c>
      <c r="B2" s="15" t="inlineStr">
        <is>
          <t>日付の新しい行を上から足す。入金と出金はどちらか一方に金額を入れる。</t>
        </is>
      </c>
    </row>
    <row r="3" ht="18.75" customHeight="1" s="17">
      <c r="A3" s="14" t="inlineStr">
        <is>
          <t>預入</t>
        </is>
      </c>
      <c r="B3" s="15" t="inlineStr">
        <is>
          <t>残高は式。入金の合計から出金の合計を引いた額で、手では直さない。</t>
        </is>
      </c>
    </row>
    <row r="4" ht="18.75" customHeight="1" s="17">
      <c r="A4" s="14" t="inlineStr">
        <is>
          <t>介護</t>
        </is>
      </c>
      <c r="B4" s="15" t="inlineStr">
        <is>
          <t>区分はプルダウン。語を足すときは、このシートのA列の続きに書く。</t>
        </is>
      </c>
    </row>
    <row r="5" ht="18.75" customHeight="1" s="17">
      <c r="A5" s="14" t="inlineStr">
        <is>
          <t>医療</t>
        </is>
      </c>
      <c r="B5" s="15" t="inlineStr">
        <is>
          <t>繰越は2026-09-30の資産確認（預り金 10,105,444円）。過去の内訳は入れていない。</t>
        </is>
      </c>
    </row>
    <row r="6" ht="18.75" customHeight="1" s="17">
      <c r="A6" s="14" t="inlineStr">
        <is>
          <t>施設</t>
        </is>
      </c>
      <c r="B6" s="15" t="inlineStr">
        <is>
          <t>預入は母から受け取ったとき。返金は母や家族へ戻したとき。</t>
        </is>
      </c>
    </row>
    <row r="7" ht="18.75" customHeight="1" s="17">
      <c r="A7" s="14" t="inlineStr">
        <is>
          <t>生活</t>
        </is>
      </c>
      <c r="B7" s="15" t="inlineStr">
        <is>
          <t>支払いは銀行振込。支払先は摘要に書く。</t>
        </is>
      </c>
    </row>
    <row r="8" ht="18.75" customHeight="1" s="17">
      <c r="A8" s="14" t="inlineStr">
        <is>
          <t>返金</t>
        </is>
      </c>
      <c r="B8" s="15" t="inlineStr">
        <is>
          <t>証憑には R_2026_001 のような番号を書く。領収書・請求書・振込明細は、その番号で残す。</t>
        </is>
      </c>
    </row>
    <row r="9" ht="18.75" customHeight="1" s="17">
      <c r="A9" s="14" t="inlineStr">
        <is>
          <t>その他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2026-10-03T23:20:41Z</dcterms:created>
  <dcterms:modified xmlns:dcterms="http://purl.org/dc/terms/" xmlns:xsi="http://www.w3.org/2001/XMLSchema-instance" xsi:type="dcterms:W3CDTF">2026-10-04T00:49:25Z</dcterms:modified>
  <cp:lastModifiedBy>伸一郎 尾関</cp:lastModifiedBy>
</cp:coreProperties>
</file>